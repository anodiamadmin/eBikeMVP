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artupActivities\"/>
    </mc:Choice>
  </mc:AlternateContent>
  <bookViews>
    <workbookView xWindow="0" yWindow="0" windowWidth="14385" windowHeight="447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7" i="1"/>
  <c r="E6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<sst xmlns="http://schemas.openxmlformats.org/spreadsheetml/2006/main" count="49" uniqueCount="44">
  <si>
    <t>Risk Category</t>
  </si>
  <si>
    <t>Risk Level</t>
  </si>
  <si>
    <t>Why It Matters</t>
  </si>
  <si>
    <t>MVP Mitigation (Anodiam-Led)</t>
  </si>
  <si>
    <t>Asset Theft &amp; Damage</t>
  </si>
  <si>
    <t>🔴 High</t>
  </si>
  <si>
    <t>E-bikes are high-value assets; owner trust is critical</t>
  </si>
  <si>
    <t>KYC (owner &amp; renter), GPS tracking, trip logs, photo check-in/out, security deposits</t>
  </si>
  <si>
    <t>Insurance &amp; Liability</t>
  </si>
  <si>
    <t>Accidents can kill platform adoption</t>
  </si>
  <si>
    <t>Per-ride insurance option, digital waivers, incident reporting flow</t>
  </si>
  <si>
    <t>Marketplace Cold-Start</t>
  </si>
  <si>
    <t>🟠 Medium-High</t>
  </si>
  <si>
    <t>Two-sided marketplace adoption risk</t>
  </si>
  <si>
    <t>Hyper-local UNSW launch, early owner incentives, verified profiles &amp; ratings</t>
  </si>
  <si>
    <t>Payment Fraud &amp; Chargebacks</t>
  </si>
  <si>
    <t>🟠 Medium</t>
  </si>
  <si>
    <t>Financial leakage threatens unit economics</t>
  </si>
  <si>
    <t>Stripe escrow, pre-authorised deposits, fraud scoring, booking limits</t>
  </si>
  <si>
    <t>Regulatory Compliance (NSW)</t>
  </si>
  <si>
    <t>Council rules can block scaling</t>
  </si>
  <si>
    <t>Platform-as-facilitator model, speed compliance, in-app safety prompts</t>
  </si>
  <si>
    <t>Battery Abuse &amp; Maintenance</t>
  </si>
  <si>
    <t>🟡 Medium-Low</t>
  </si>
  <si>
    <t>Owner long-term cost concerns</t>
  </si>
  <si>
    <t>Usage analytics, battery health reporting, misuse flagging</t>
  </si>
  <si>
    <t>Technical Complexity</t>
  </si>
  <si>
    <t>Overbuilding delays validation</t>
  </si>
  <si>
    <t>Strict MVP scope, modular APIs, hardware-agnostic design</t>
  </si>
  <si>
    <t>Demand &amp; Unit Economics</t>
  </si>
  <si>
    <t>Must beat fleet rentals on value</t>
  </si>
  <si>
    <t>Long-duration rentals, tourist/student focus, utilisation tracking</t>
  </si>
  <si>
    <t>Founder Execution Risk</t>
  </si>
  <si>
    <t>First-time founder credibility</t>
  </si>
  <si>
    <t>Anodiam as technical &amp; product partner</t>
  </si>
  <si>
    <t>Scalability (Post-PMF)</t>
  </si>
  <si>
    <t>🟢 Low (Now)</t>
  </si>
  <si>
    <t>Only relevant after traction</t>
  </si>
  <si>
    <t>Cloud-native backend, city-based rollout</t>
  </si>
  <si>
    <t>Impact</t>
  </si>
  <si>
    <t>Probability</t>
  </si>
  <si>
    <t>Mitigation Complexity</t>
  </si>
  <si>
    <t>Final 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</si>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</sst>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sqref="A1:I7"/>
    </sheetView>
  </sheetViews>
  <sheetFormatPr defaultColWidth="36.46484375" defaultRowHeight="14.25" x14ac:dyDescent="0.45"/>
  <cols>
    <col min="1" max="1" width="25.6640625" bestFit="1" customWidth="1"/>
    <col min="2" max="3" width="9.46484375" customWidth="1"/>
    <col min="4" max="4" width="9.86328125" bestFit="1" customWidth="1"/>
    <col min="5" max="6" width="9.86328125" customWidth="1"/>
    <col min="7" max="7" width="10.265625" bestFit="1" customWidth="1"/>
    <col min="8" max="8" width="35.86328125" bestFit="1" customWidth="1"/>
  </cols>
  <sheetData>
    <row r="1" spans="1:9" ht="28.5" x14ac:dyDescent="0.4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1</v>
      </c>
      <c r="H1" s="1" t="s">
        <v>2</v>
      </c>
      <c r="I1" s="1" t="s">
        <v>3</v>
      </c>
    </row>
    <row r="2" spans="1:9" ht="28.5" x14ac:dyDescent="0.45">
      <c r="A2" s="4" t="s">
        <v>4</v>
      </c>
      <c r="B2" s="4">
        <v>4</v>
      </c>
      <c r="C2" s="4">
        <v>4</v>
      </c>
      <c r="D2" s="4">
        <v>4</v>
      </c>
      <c r="E2" s="4">
        <f>IF(D2=0,0,B2*C2/D2)</f>
        <v>4</v>
      </c>
      <c r="F2" s="4">
        <v>2</v>
      </c>
      <c r="G2" s="5" t="s">
        <v>5</v>
      </c>
      <c r="H2" s="5" t="s">
        <v>6</v>
      </c>
      <c r="I2" s="5" t="s">
        <v>7</v>
      </c>
    </row>
    <row r="3" spans="1:9" ht="28.5" x14ac:dyDescent="0.45">
      <c r="A3" s="4" t="s">
        <v>8</v>
      </c>
      <c r="B3" s="4">
        <v>5</v>
      </c>
      <c r="C3" s="4">
        <v>4</v>
      </c>
      <c r="D3" s="4">
        <v>5</v>
      </c>
      <c r="E3" s="4">
        <f t="shared" ref="E3:E11" si="0">IF(D3=0,0,B3*C3/D3)</f>
        <v>4</v>
      </c>
      <c r="F3" s="4">
        <v>2</v>
      </c>
      <c r="G3" s="5" t="s">
        <v>5</v>
      </c>
      <c r="H3" s="5" t="s">
        <v>9</v>
      </c>
      <c r="I3" s="5" t="s">
        <v>10</v>
      </c>
    </row>
    <row r="4" spans="1:9" ht="28.5" x14ac:dyDescent="0.45">
      <c r="A4" s="4" t="s">
        <v>11</v>
      </c>
      <c r="B4" s="4">
        <v>4</v>
      </c>
      <c r="C4" s="4">
        <v>5</v>
      </c>
      <c r="D4" s="4">
        <v>4</v>
      </c>
      <c r="E4" s="4">
        <f t="shared" si="0"/>
        <v>5</v>
      </c>
      <c r="F4" s="4">
        <v>1</v>
      </c>
      <c r="G4" s="5" t="s">
        <v>12</v>
      </c>
      <c r="H4" s="5" t="s">
        <v>13</v>
      </c>
      <c r="I4" s="5" t="s">
        <v>14</v>
      </c>
    </row>
    <row r="5" spans="1:9" ht="28.5" x14ac:dyDescent="0.45">
      <c r="A5" s="4" t="s">
        <v>15</v>
      </c>
      <c r="B5" s="4">
        <v>5</v>
      </c>
      <c r="C5" s="4">
        <v>4</v>
      </c>
      <c r="D5" s="4">
        <v>5</v>
      </c>
      <c r="E5" s="4">
        <f t="shared" si="0"/>
        <v>4</v>
      </c>
      <c r="F5" s="4">
        <v>2</v>
      </c>
      <c r="G5" s="5" t="s">
        <v>16</v>
      </c>
      <c r="H5" s="5" t="s">
        <v>17</v>
      </c>
      <c r="I5" s="5" t="s">
        <v>18</v>
      </c>
    </row>
    <row r="6" spans="1:9" ht="28.5" x14ac:dyDescent="0.45">
      <c r="A6" s="4" t="s">
        <v>22</v>
      </c>
      <c r="B6" s="4">
        <v>3</v>
      </c>
      <c r="C6" s="4">
        <v>4</v>
      </c>
      <c r="D6" s="4">
        <v>3</v>
      </c>
      <c r="E6" s="4">
        <f>IF(D6=0,0,B6*C6/D6)</f>
        <v>4</v>
      </c>
      <c r="F6" s="4">
        <v>2</v>
      </c>
      <c r="G6" s="5" t="s">
        <v>23</v>
      </c>
      <c r="H6" s="5" t="s">
        <v>24</v>
      </c>
      <c r="I6" s="5" t="s">
        <v>25</v>
      </c>
    </row>
    <row r="7" spans="1:9" ht="28.5" x14ac:dyDescent="0.45">
      <c r="A7" s="4" t="s">
        <v>19</v>
      </c>
      <c r="B7" s="4">
        <v>5</v>
      </c>
      <c r="C7" s="4">
        <v>3</v>
      </c>
      <c r="D7" s="4">
        <v>4</v>
      </c>
      <c r="E7" s="4">
        <f t="shared" si="0"/>
        <v>3.75</v>
      </c>
      <c r="F7" s="4">
        <v>3</v>
      </c>
      <c r="G7" s="5" t="s">
        <v>16</v>
      </c>
      <c r="H7" s="5" t="s">
        <v>20</v>
      </c>
      <c r="I7" s="5" t="s">
        <v>21</v>
      </c>
    </row>
    <row r="8" spans="1:9" ht="28.5" x14ac:dyDescent="0.45">
      <c r="A8" s="3" t="s">
        <v>26</v>
      </c>
      <c r="B8" s="3">
        <v>4</v>
      </c>
      <c r="C8" s="3">
        <v>2</v>
      </c>
      <c r="D8" s="3">
        <v>4</v>
      </c>
      <c r="E8" s="3">
        <f t="shared" si="0"/>
        <v>2</v>
      </c>
      <c r="F8" s="3">
        <v>6</v>
      </c>
      <c r="G8" s="2" t="s">
        <v>23</v>
      </c>
      <c r="H8" s="2" t="s">
        <v>27</v>
      </c>
      <c r="I8" s="2" t="s">
        <v>28</v>
      </c>
    </row>
    <row r="9" spans="1:9" ht="28.5" x14ac:dyDescent="0.45">
      <c r="A9" s="3" t="s">
        <v>29</v>
      </c>
      <c r="B9" s="3">
        <v>4</v>
      </c>
      <c r="C9" s="3">
        <v>3</v>
      </c>
      <c r="D9" s="3">
        <v>5</v>
      </c>
      <c r="E9" s="3">
        <f t="shared" si="0"/>
        <v>2.4</v>
      </c>
      <c r="F9" s="3">
        <v>4</v>
      </c>
      <c r="G9" s="2" t="s">
        <v>23</v>
      </c>
      <c r="H9" s="2" t="s">
        <v>30</v>
      </c>
      <c r="I9" s="2" t="s">
        <v>31</v>
      </c>
    </row>
    <row r="10" spans="1:9" ht="28.5" x14ac:dyDescent="0.45">
      <c r="A10" s="3" t="s">
        <v>32</v>
      </c>
      <c r="B10" s="3">
        <v>3</v>
      </c>
      <c r="C10" s="3">
        <v>3</v>
      </c>
      <c r="D10" s="3">
        <v>4</v>
      </c>
      <c r="E10" s="3">
        <f t="shared" si="0"/>
        <v>2.25</v>
      </c>
      <c r="F10" s="3">
        <v>5</v>
      </c>
      <c r="G10" s="2" t="s">
        <v>23</v>
      </c>
      <c r="H10" s="2" t="s">
        <v>33</v>
      </c>
      <c r="I10" s="2" t="s">
        <v>34</v>
      </c>
    </row>
    <row r="11" spans="1:9" ht="28.5" x14ac:dyDescent="0.45">
      <c r="A11" s="3" t="s">
        <v>35</v>
      </c>
      <c r="B11" s="3">
        <v>2</v>
      </c>
      <c r="C11" s="3">
        <v>3</v>
      </c>
      <c r="D11" s="3">
        <v>3</v>
      </c>
      <c r="E11" s="3">
        <f t="shared" si="0"/>
        <v>2</v>
      </c>
      <c r="F11" s="3">
        <v>6</v>
      </c>
      <c r="G11" s="2" t="s">
        <v>36</v>
      </c>
      <c r="H11" s="2" t="s">
        <v>37</v>
      </c>
      <c r="I11" s="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2025-12-15T11:42:09Z</dcterms:created>
  <dcterms:modified xsi:type="dcterms:W3CDTF">2025-12-15T12:24:01Z</dcterms:modified>
</cp:coreProperties>
</file>