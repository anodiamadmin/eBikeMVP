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eBikeMVP\"/>
    </mc:Choice>
  </mc:AlternateContent>
  <bookViews>
    <workbookView xWindow="0" yWindow="0" windowWidth="14385" windowHeight="4478"/>
  </bookViews>
  <sheets>
    <sheet name="Sheet1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4" i="1" l="1"/>
  <c r="F5" i="1"/>
  <c r="F6" i="1"/>
  <c r="F8" i="1"/>
  <c r="F7" i="1"/>
  <c r="F9" i="1"/>
  <c r="F10" i="1"/>
  <c r="F11" i="1"/>
  <c r="F12" i="1"/>
  <c r="F3" i="1"/>
</calcChain>
</file>

<file path=xl/sharedStrings.xml><?xml version="1.0" encoding="utf-8"?>
<sst xmlns="http://schemas.openxmlformats.org/spreadsheetml/2006/main" count="49" uniqueCount="44">
  <si>
    <t>Risk Category</t>
  </si>
  <si>
    <t>Why It Matters</t>
  </si>
  <si>
    <t>MVP Mitigation (Anodiam-Led)</t>
  </si>
  <si>
    <t>Asset Theft &amp; Damage</t>
  </si>
  <si>
    <t>E-bikes are high-value assets; owner trust is critical</t>
  </si>
  <si>
    <t>KYC (owner &amp; renter), GPS tracking, trip logs, photo check-in/out, security deposits</t>
  </si>
  <si>
    <t>Insurance &amp; Liability</t>
  </si>
  <si>
    <t>Accidents can kill platform adoption</t>
  </si>
  <si>
    <t>Per-ride insurance option, digital waivers, incident reporting flow</t>
  </si>
  <si>
    <t>Marketplace Cold-Start</t>
  </si>
  <si>
    <t>Two-sided marketplace adoption risk</t>
  </si>
  <si>
    <t>Hyper-local UNSW launch, early owner incentives, verified profiles &amp; ratings</t>
  </si>
  <si>
    <t>Payment Fraud &amp; Chargebacks</t>
  </si>
  <si>
    <t>Financial leakage threatens unit economics</t>
  </si>
  <si>
    <t>Stripe escrow, pre-authorised deposits, fraud scoring, booking limits</t>
  </si>
  <si>
    <t>Regulatory Compliance (NSW)</t>
  </si>
  <si>
    <t>Council rules can block scaling</t>
  </si>
  <si>
    <t>Platform-as-facilitator model, speed compliance, in-app safety prompts</t>
  </si>
  <si>
    <t>Battery Abuse &amp; Maintenance</t>
  </si>
  <si>
    <t>Owner long-term cost concerns</t>
  </si>
  <si>
    <t>Usage analytics, battery health reporting, misuse flagging</t>
  </si>
  <si>
    <t>Technical Complexity</t>
  </si>
  <si>
    <t>Overbuilding delays validation</t>
  </si>
  <si>
    <t>Strict MVP scope, modular APIs, hardware-agnostic design</t>
  </si>
  <si>
    <t>Demand &amp; Unit Economics</t>
  </si>
  <si>
    <t>Must beat fleet rentals on value</t>
  </si>
  <si>
    <t>Long-duration rentals, tourist/student focus, utilisation tracking</t>
  </si>
  <si>
    <t>Founder Execution Risk</t>
  </si>
  <si>
    <t>First-time founder credibility</t>
  </si>
  <si>
    <t>Anodiam as technical &amp; product partner</t>
  </si>
  <si>
    <t>Scalability (Post-PMF)</t>
  </si>
  <si>
    <t>Only relevant after traction</t>
  </si>
  <si>
    <t>Cloud-native backend, city-based rollout</t>
  </si>
  <si>
    <t>Impact</t>
  </si>
  <si>
    <t>Probability</t>
  </si>
  <si>
    <t>Final Score</t>
  </si>
  <si>
    <t>Rank</t>
  </si>
  <si>
    <t>Medium-High</t>
  </si>
  <si>
    <t>High</t>
  </si>
  <si>
    <t>Medium</t>
  </si>
  <si>
    <t>Medium-Low</t>
  </si>
  <si>
    <t>Low</t>
  </si>
  <si>
    <t>Risk Level (Current)</t>
  </si>
  <si>
    <t>Complexity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</si>
</sst>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4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2" fillId="3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12"/>
  <sheetViews>
    <sheetView tabSelected="1" zoomScale="90" zoomScaleNormal="90" workbookViewId="0">
      <selection activeCell="H7" sqref="H7"/>
    </sheetView>
  </sheetViews>
  <sheetFormatPr defaultColWidth="36.46484375" defaultRowHeight="14.25" x14ac:dyDescent="0.45"/>
  <cols>
    <col min="1" max="1" width="4" customWidth="1"/>
    <col min="2" max="2" width="25.6640625" customWidth="1"/>
    <col min="3" max="3" width="6.33203125" bestFit="1" customWidth="1"/>
    <col min="4" max="4" width="9.46484375" customWidth="1"/>
    <col min="5" max="5" width="9.86328125" bestFit="1" customWidth="1"/>
    <col min="6" max="6" width="9.46484375" bestFit="1" customWidth="1"/>
    <col min="7" max="7" width="4.796875" bestFit="1" customWidth="1"/>
    <col min="8" max="8" width="16.53125" bestFit="1" customWidth="1"/>
    <col min="9" max="9" width="41.3984375" bestFit="1" customWidth="1"/>
    <col min="10" max="10" width="40.19921875" bestFit="1" customWidth="1"/>
  </cols>
  <sheetData>
    <row r="2" spans="2:10" ht="28.5" x14ac:dyDescent="0.45">
      <c r="B2" s="1" t="s">
        <v>0</v>
      </c>
      <c r="C2" s="1" t="s">
        <v>33</v>
      </c>
      <c r="D2" s="1" t="s">
        <v>34</v>
      </c>
      <c r="E2" s="1" t="s">
        <v>43</v>
      </c>
      <c r="F2" s="1" t="s">
        <v>35</v>
      </c>
      <c r="G2" s="1" t="s">
        <v>36</v>
      </c>
      <c r="H2" s="1" t="s">
        <v>42</v>
      </c>
      <c r="I2" s="1" t="s">
        <v>1</v>
      </c>
      <c r="J2" s="1" t="s">
        <v>2</v>
      </c>
    </row>
    <row r="3" spans="2:10" ht="28.5" x14ac:dyDescent="0.45">
      <c r="B3" s="2" t="s">
        <v>3</v>
      </c>
      <c r="C3" s="3">
        <v>4</v>
      </c>
      <c r="D3" s="3">
        <v>4</v>
      </c>
      <c r="E3" s="3">
        <v>2</v>
      </c>
      <c r="F3" s="3">
        <f>IF(E3=0,0,C3*D3/E3)</f>
        <v>8</v>
      </c>
      <c r="G3" s="3">
        <v>2</v>
      </c>
      <c r="H3" s="4" t="s">
        <v>37</v>
      </c>
      <c r="I3" s="4" t="s">
        <v>4</v>
      </c>
      <c r="J3" s="4" t="s">
        <v>5</v>
      </c>
    </row>
    <row r="4" spans="2:10" ht="28.5" x14ac:dyDescent="0.45">
      <c r="B4" s="2" t="s">
        <v>6</v>
      </c>
      <c r="C4" s="3">
        <v>5</v>
      </c>
      <c r="D4" s="3">
        <v>4</v>
      </c>
      <c r="E4" s="3">
        <v>5</v>
      </c>
      <c r="F4" s="3">
        <f t="shared" ref="F4:F12" si="0">IF(E4=0,0,C4*D4/E4)</f>
        <v>4</v>
      </c>
      <c r="G4" s="3">
        <v>2</v>
      </c>
      <c r="H4" s="4" t="s">
        <v>37</v>
      </c>
      <c r="I4" s="4" t="s">
        <v>7</v>
      </c>
      <c r="J4" s="4" t="s">
        <v>8</v>
      </c>
    </row>
    <row r="5" spans="2:10" ht="28.5" x14ac:dyDescent="0.45">
      <c r="B5" s="2" t="s">
        <v>9</v>
      </c>
      <c r="C5" s="3">
        <v>4</v>
      </c>
      <c r="D5" s="3">
        <v>5</v>
      </c>
      <c r="E5" s="3">
        <v>4</v>
      </c>
      <c r="F5" s="3">
        <f t="shared" si="0"/>
        <v>5</v>
      </c>
      <c r="G5" s="3">
        <v>1</v>
      </c>
      <c r="H5" s="4" t="s">
        <v>38</v>
      </c>
      <c r="I5" s="4" t="s">
        <v>10</v>
      </c>
      <c r="J5" s="4" t="s">
        <v>11</v>
      </c>
    </row>
    <row r="6" spans="2:10" ht="28.5" x14ac:dyDescent="0.45">
      <c r="B6" s="2" t="s">
        <v>12</v>
      </c>
      <c r="C6" s="3">
        <v>5</v>
      </c>
      <c r="D6" s="3">
        <v>4</v>
      </c>
      <c r="E6" s="3">
        <v>5</v>
      </c>
      <c r="F6" s="3">
        <f t="shared" si="0"/>
        <v>4</v>
      </c>
      <c r="G6" s="3">
        <v>2</v>
      </c>
      <c r="H6" s="4" t="s">
        <v>37</v>
      </c>
      <c r="I6" s="4" t="s">
        <v>13</v>
      </c>
      <c r="J6" s="4" t="s">
        <v>14</v>
      </c>
    </row>
    <row r="7" spans="2:10" ht="28.5" x14ac:dyDescent="0.45">
      <c r="B7" s="2" t="s">
        <v>18</v>
      </c>
      <c r="C7" s="3">
        <v>3</v>
      </c>
      <c r="D7" s="3">
        <v>4</v>
      </c>
      <c r="E7" s="3">
        <v>3</v>
      </c>
      <c r="F7" s="3">
        <f>IF(E7=0,0,C7*D7/E7)</f>
        <v>4</v>
      </c>
      <c r="G7" s="3">
        <v>2</v>
      </c>
      <c r="H7" s="4" t="s">
        <v>37</v>
      </c>
      <c r="I7" s="4" t="s">
        <v>19</v>
      </c>
      <c r="J7" s="4" t="s">
        <v>20</v>
      </c>
    </row>
    <row r="8" spans="2:10" ht="28.5" x14ac:dyDescent="0.45">
      <c r="B8" s="2" t="s">
        <v>15</v>
      </c>
      <c r="C8" s="3">
        <v>5</v>
      </c>
      <c r="D8" s="3">
        <v>3</v>
      </c>
      <c r="E8" s="3">
        <v>4</v>
      </c>
      <c r="F8" s="3">
        <f t="shared" si="0"/>
        <v>3.75</v>
      </c>
      <c r="G8" s="3">
        <v>3</v>
      </c>
      <c r="H8" s="4" t="s">
        <v>39</v>
      </c>
      <c r="I8" s="4" t="s">
        <v>16</v>
      </c>
      <c r="J8" s="4" t="s">
        <v>17</v>
      </c>
    </row>
    <row r="9" spans="2:10" ht="28.5" x14ac:dyDescent="0.45">
      <c r="B9" s="5" t="s">
        <v>21</v>
      </c>
      <c r="C9" s="6">
        <v>4</v>
      </c>
      <c r="D9" s="6">
        <v>2</v>
      </c>
      <c r="E9" s="6">
        <v>4</v>
      </c>
      <c r="F9" s="6">
        <f t="shared" si="0"/>
        <v>2</v>
      </c>
      <c r="G9" s="6">
        <v>6</v>
      </c>
      <c r="H9" s="7" t="s">
        <v>40</v>
      </c>
      <c r="I9" s="7" t="s">
        <v>22</v>
      </c>
      <c r="J9" s="7" t="s">
        <v>23</v>
      </c>
    </row>
    <row r="10" spans="2:10" ht="28.5" x14ac:dyDescent="0.45">
      <c r="B10" s="5" t="s">
        <v>24</v>
      </c>
      <c r="C10" s="6">
        <v>4</v>
      </c>
      <c r="D10" s="6">
        <v>3</v>
      </c>
      <c r="E10" s="6">
        <v>5</v>
      </c>
      <c r="F10" s="6">
        <f t="shared" si="0"/>
        <v>2.4</v>
      </c>
      <c r="G10" s="6">
        <v>4</v>
      </c>
      <c r="H10" s="7" t="s">
        <v>40</v>
      </c>
      <c r="I10" s="7" t="s">
        <v>25</v>
      </c>
      <c r="J10" s="7" t="s">
        <v>26</v>
      </c>
    </row>
    <row r="11" spans="2:10" x14ac:dyDescent="0.45">
      <c r="B11" s="5" t="s">
        <v>27</v>
      </c>
      <c r="C11" s="6">
        <v>3</v>
      </c>
      <c r="D11" s="6">
        <v>3</v>
      </c>
      <c r="E11" s="6">
        <v>4</v>
      </c>
      <c r="F11" s="6">
        <f t="shared" si="0"/>
        <v>2.25</v>
      </c>
      <c r="G11" s="6">
        <v>5</v>
      </c>
      <c r="H11" s="7" t="s">
        <v>40</v>
      </c>
      <c r="I11" s="7" t="s">
        <v>28</v>
      </c>
      <c r="J11" s="7" t="s">
        <v>29</v>
      </c>
    </row>
    <row r="12" spans="2:10" x14ac:dyDescent="0.45">
      <c r="B12" s="5" t="s">
        <v>30</v>
      </c>
      <c r="C12" s="6">
        <v>2</v>
      </c>
      <c r="D12" s="6">
        <v>3</v>
      </c>
      <c r="E12" s="6">
        <v>3</v>
      </c>
      <c r="F12" s="6">
        <f t="shared" si="0"/>
        <v>2</v>
      </c>
      <c r="G12" s="6">
        <v>6</v>
      </c>
      <c r="H12" s="7" t="s">
        <v>41</v>
      </c>
      <c r="I12" s="7" t="s">
        <v>31</v>
      </c>
      <c r="J12" s="7" t="s">
        <v>32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2025-12-15T11:42:09Z</dcterms:created>
  <dcterms:modified xsi:type="dcterms:W3CDTF">2025-12-17T02:32:47Z</dcterms:modified>
</cp:coreProperties>
</file>